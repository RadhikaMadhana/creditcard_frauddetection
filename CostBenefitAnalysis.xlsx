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DHIKAMADHANA\Desktop\upgrad\capstone\"/>
    </mc:Choice>
  </mc:AlternateContent>
  <xr:revisionPtr revIDLastSave="0" documentId="8_{ED95EABD-9FD4-4B9B-9D22-DA310BE7A2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rt I" sheetId="2" r:id="rId1"/>
    <sheet name="Part II" sheetId="6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6" l="1"/>
  <c r="D7" i="6"/>
  <c r="D10" i="6"/>
  <c r="D4" i="6"/>
  <c r="D11" i="6"/>
</calcChain>
</file>

<file path=xl/sharedStrings.xml><?xml version="1.0" encoding="utf-8"?>
<sst xmlns="http://schemas.openxmlformats.org/spreadsheetml/2006/main" count="22" uniqueCount="18">
  <si>
    <t>Questions</t>
  </si>
  <si>
    <t>Answer</t>
  </si>
  <si>
    <t>Average number of transactions per month</t>
  </si>
  <si>
    <t>Average number of fraudulent transaction per month</t>
  </si>
  <si>
    <t>Cost Benefit Analysis</t>
  </si>
  <si>
    <t>S. No</t>
  </si>
  <si>
    <t>Average amount per fraud transaction</t>
  </si>
  <si>
    <t>Cost incurred per month before the model was deployed (b*c)</t>
  </si>
  <si>
    <t>Average number of transactions per month detected as fraudulent by the model (TF)</t>
  </si>
  <si>
    <t>Cost of providing customer executive support per fraudulent transaction detected by the model</t>
  </si>
  <si>
    <t>Total cost of providing customer support per month for fraudulent transactions detected by the model (TF*$1.5)</t>
  </si>
  <si>
    <t>Average number of transactions per month that are fraudulent but not detected by the model (FN)</t>
  </si>
  <si>
    <t>Cost incurred due to fraudulent transactions left undetected by the model (FN*c)</t>
  </si>
  <si>
    <t>a</t>
  </si>
  <si>
    <t>b</t>
  </si>
  <si>
    <t>c</t>
  </si>
  <si>
    <t>Final savings = Cost incurred before - Cost incurred after(1-7)</t>
  </si>
  <si>
    <t>Cost incurred per month after the model is built and deployed (4+6)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</si>
</sst>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3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5" borderId="2" xfId="0" applyFill="1" applyBorder="1"/>
    <xf numFmtId="0" fontId="0" fillId="5" borderId="1" xfId="0" applyFill="1" applyBorder="1"/>
    <xf numFmtId="164" fontId="0" fillId="4" borderId="0" xfId="0" applyNumberFormat="1" applyFill="1"/>
    <xf numFmtId="1" fontId="0" fillId="3" borderId="2" xfId="0" applyNumberFormat="1" applyFill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164" fontId="0" fillId="3" borderId="2" xfId="0" applyNumberFormat="1" applyFill="1" applyBorder="1" applyAlignment="1">
      <alignment horizontal="left" wrapText="1"/>
    </xf>
    <xf numFmtId="164" fontId="0" fillId="3" borderId="1" xfId="0" applyNumberFormat="1" applyFill="1" applyBorder="1" applyAlignment="1">
      <alignment horizontal="left" wrapText="1"/>
    </xf>
    <xf numFmtId="2" fontId="0" fillId="4" borderId="0" xfId="0" applyNumberFormat="1" applyFill="1"/>
    <xf numFmtId="0" fontId="3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"/>
  <sheetViews>
    <sheetView showGridLines="0" tabSelected="1" workbookViewId="0">
      <selection activeCell="D12" sqref="D12"/>
    </sheetView>
  </sheetViews>
  <sheetFormatPr defaultColWidth="8.90625" defaultRowHeight="14.5" x14ac:dyDescent="0.35"/>
  <cols>
    <col min="1" max="1" width="3.6328125" customWidth="1"/>
    <col min="2" max="2" width="8.90625" style="1"/>
    <col min="3" max="3" width="63.6328125" customWidth="1"/>
    <col min="4" max="4" width="39.453125" bestFit="1" customWidth="1"/>
  </cols>
  <sheetData>
    <row r="1" spans="2:4" ht="15" thickBot="1" x14ac:dyDescent="0.4"/>
    <row r="2" spans="2:4" x14ac:dyDescent="0.35">
      <c r="B2" s="24" t="s">
        <v>4</v>
      </c>
      <c r="C2" s="25"/>
      <c r="D2" s="26"/>
    </row>
    <row r="3" spans="2:4" ht="15" thickBot="1" x14ac:dyDescent="0.4">
      <c r="B3" s="3" t="s">
        <v>5</v>
      </c>
      <c r="C3" s="4" t="s">
        <v>0</v>
      </c>
      <c r="D3" s="5" t="s">
        <v>1</v>
      </c>
    </row>
    <row r="4" spans="2:4" x14ac:dyDescent="0.35">
      <c r="B4" s="8" t="s">
        <v>13</v>
      </c>
      <c r="C4" s="6" t="s">
        <v>2</v>
      </c>
      <c r="D4" s="21">
        <v>77183.083333333299</v>
      </c>
    </row>
    <row r="5" spans="2:4" x14ac:dyDescent="0.35">
      <c r="B5" s="9" t="s">
        <v>14</v>
      </c>
      <c r="C5" s="10" t="s">
        <v>3</v>
      </c>
      <c r="D5" s="22">
        <v>402.125</v>
      </c>
    </row>
    <row r="6" spans="2:4" x14ac:dyDescent="0.35">
      <c r="B6" s="9" t="s">
        <v>15</v>
      </c>
      <c r="C6" s="7" t="s">
        <v>6</v>
      </c>
      <c r="D6" s="22">
        <v>530.66141228888102</v>
      </c>
    </row>
    <row r="7" spans="2:4" x14ac:dyDescent="0.35">
      <c r="C7" s="2"/>
    </row>
    <row r="8" spans="2:4" x14ac:dyDescent="0.35">
      <c r="C8" s="2"/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7"/>
  <sheetViews>
    <sheetView zoomScale="102" zoomScaleNormal="102" workbookViewId="0">
      <selection activeCell="C14" sqref="C14:D24"/>
    </sheetView>
  </sheetViews>
  <sheetFormatPr defaultColWidth="9.08984375" defaultRowHeight="14.5" x14ac:dyDescent="0.35"/>
  <cols>
    <col min="1" max="1" width="3.453125" style="15" customWidth="1"/>
    <col min="2" max="2" width="5.54296875" style="15" bestFit="1" customWidth="1"/>
    <col min="3" max="3" width="102.453125" style="15" bestFit="1" customWidth="1"/>
    <col min="4" max="4" width="39.453125" style="15" bestFit="1" customWidth="1"/>
    <col min="5" max="16384" width="9.08984375" style="15"/>
  </cols>
  <sheetData>
    <row r="1" spans="2:4" ht="15" thickBot="1" x14ac:dyDescent="0.4">
      <c r="D1"/>
    </row>
    <row r="2" spans="2:4" x14ac:dyDescent="0.35">
      <c r="B2" s="24" t="s">
        <v>4</v>
      </c>
      <c r="C2" s="25"/>
      <c r="D2" s="26"/>
    </row>
    <row r="3" spans="2:4" ht="15" thickBot="1" x14ac:dyDescent="0.4">
      <c r="B3" s="3" t="s">
        <v>5</v>
      </c>
      <c r="C3" s="4" t="s">
        <v>0</v>
      </c>
      <c r="D3" s="5" t="s">
        <v>1</v>
      </c>
    </row>
    <row r="4" spans="2:4" x14ac:dyDescent="0.35">
      <c r="B4" s="11">
        <v>1</v>
      </c>
      <c r="C4" s="16" t="s">
        <v>7</v>
      </c>
      <c r="D4" s="19">
        <f>'Part I'!D5*'Part I'!D6</f>
        <v>213392.22041666627</v>
      </c>
    </row>
    <row r="5" spans="2:4" x14ac:dyDescent="0.35">
      <c r="B5" s="12">
        <v>2</v>
      </c>
      <c r="C5" s="13" t="s">
        <v>8</v>
      </c>
      <c r="D5" s="20">
        <v>405.125</v>
      </c>
    </row>
    <row r="6" spans="2:4" x14ac:dyDescent="0.35">
      <c r="B6" s="12">
        <v>3</v>
      </c>
      <c r="C6" s="14" t="s">
        <v>9</v>
      </c>
      <c r="D6" s="20">
        <v>1.5</v>
      </c>
    </row>
    <row r="7" spans="2:4" x14ac:dyDescent="0.35">
      <c r="B7" s="12">
        <v>4</v>
      </c>
      <c r="C7" s="13" t="s">
        <v>10</v>
      </c>
      <c r="D7" s="20">
        <f>D5*1.5</f>
        <v>607.6875</v>
      </c>
    </row>
    <row r="8" spans="2:4" x14ac:dyDescent="0.35">
      <c r="B8" s="12">
        <v>5</v>
      </c>
      <c r="C8" s="14" t="s">
        <v>11</v>
      </c>
      <c r="D8" s="20">
        <v>16.25</v>
      </c>
    </row>
    <row r="9" spans="2:4" x14ac:dyDescent="0.35">
      <c r="B9" s="12">
        <v>6</v>
      </c>
      <c r="C9" s="14" t="s">
        <v>12</v>
      </c>
      <c r="D9" s="20">
        <f>D8*'Part I'!D6</f>
        <v>8623.247949694316</v>
      </c>
    </row>
    <row r="10" spans="2:4" x14ac:dyDescent="0.35">
      <c r="B10" s="12">
        <v>7</v>
      </c>
      <c r="C10" s="17" t="s">
        <v>17</v>
      </c>
      <c r="D10" s="20">
        <f>D7+D9</f>
        <v>9230.935449694316</v>
      </c>
    </row>
    <row r="11" spans="2:4" x14ac:dyDescent="0.35">
      <c r="B11" s="12">
        <v>8</v>
      </c>
      <c r="C11" s="14" t="s">
        <v>16</v>
      </c>
      <c r="D11" s="20">
        <f>D4-D10</f>
        <v>204161.28496697196</v>
      </c>
    </row>
    <row r="14" spans="2:4" x14ac:dyDescent="0.35">
      <c r="D14" s="23"/>
    </row>
    <row r="15" spans="2:4" x14ac:dyDescent="0.35">
      <c r="C15"/>
    </row>
    <row r="17" spans="3:3" x14ac:dyDescent="0.35">
      <c r="C17" s="18"/>
    </row>
    <row r="18" spans="3:3" x14ac:dyDescent="0.35">
      <c r="C18" s="18"/>
    </row>
    <row r="19" spans="3:3" x14ac:dyDescent="0.35">
      <c r="C19" s="18"/>
    </row>
    <row r="20" spans="3:3" x14ac:dyDescent="0.35">
      <c r="C20" s="18"/>
    </row>
    <row r="21" spans="3:3" x14ac:dyDescent="0.35">
      <c r="C21" s="18"/>
    </row>
    <row r="22" spans="3:3" x14ac:dyDescent="0.35">
      <c r="C22" s="18"/>
    </row>
    <row r="23" spans="3:3" x14ac:dyDescent="0.35">
      <c r="C23" s="18"/>
    </row>
    <row r="24" spans="3:3" x14ac:dyDescent="0.35">
      <c r="C24" s="18"/>
    </row>
    <row r="25" spans="3:3" x14ac:dyDescent="0.35">
      <c r="C25" s="18"/>
    </row>
    <row r="26" spans="3:3" x14ac:dyDescent="0.35">
      <c r="C26" s="18"/>
    </row>
    <row r="27" spans="3:3" x14ac:dyDescent="0.35">
      <c r="C27" s="18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I</vt:lpstr>
      <vt:lpstr>Part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RADHIKA MADHANA</cp:lastModifiedBy>
  <dcterms:created xsi:type="dcterms:W3CDTF">2016-06-03T08:43:40Z</dcterms:created>
  <dcterms:modified xsi:type="dcterms:W3CDTF">2026-10-07T14:53:55Z</dcterms:modified>
</cp:coreProperties>
</file>